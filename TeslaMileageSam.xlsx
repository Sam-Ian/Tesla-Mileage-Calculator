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maynew3/Desktop/"/>
    </mc:Choice>
  </mc:AlternateContent>
  <xr:revisionPtr revIDLastSave="0" documentId="8_{EC610FF7-744A-5844-937C-14BB924F6901}" xr6:coauthVersionLast="36" xr6:coauthVersionMax="36" xr10:uidLastSave="{00000000-0000-0000-0000-000000000000}"/>
  <bookViews>
    <workbookView xWindow="10660" yWindow="5160" windowWidth="20460" windowHeight="20700" xr2:uid="{0D3E9E16-7B87-AA45-A8D5-C94979742A65}"/>
  </bookViews>
  <sheets>
    <sheet name="TeslaMileag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D3" i="1"/>
  <c r="C39" i="1" l="1"/>
  <c r="C38" i="1" l="1"/>
  <c r="C37" i="1" l="1"/>
  <c r="C36" i="1" l="1"/>
  <c r="C35" i="1" l="1"/>
  <c r="C34" i="1" l="1"/>
  <c r="C33" i="1" l="1"/>
  <c r="C32" i="1" l="1"/>
  <c r="C31" i="1" l="1"/>
  <c r="C30" i="1" l="1"/>
  <c r="C29" i="1" l="1"/>
  <c r="C28" i="1" l="1"/>
  <c r="C27" i="1" l="1"/>
  <c r="C26" i="1" l="1"/>
  <c r="C25" i="1"/>
  <c r="C24" i="1"/>
  <c r="C23" i="1" l="1"/>
  <c r="C22" i="1" l="1"/>
  <c r="C21" i="1" l="1"/>
  <c r="C20" i="1" l="1"/>
  <c r="C19" i="1" l="1"/>
  <c r="C18" i="1" l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44" i="1"/>
  <c r="H43" i="1"/>
  <c r="H42" i="1"/>
  <c r="H41" i="1"/>
  <c r="H40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6" i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5" i="1"/>
  <c r="I4" i="1"/>
  <c r="C17" i="1"/>
  <c r="C16" i="1"/>
  <c r="C15" i="1" l="1"/>
  <c r="C14" i="1" l="1"/>
  <c r="C13" i="1" l="1"/>
  <c r="C12" i="1" l="1"/>
  <c r="C11" i="1" l="1"/>
  <c r="C10" i="1" l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C9" i="1"/>
  <c r="G38" i="1" l="1"/>
  <c r="H38" i="1" s="1"/>
  <c r="F38" i="1"/>
  <c r="G42" i="1"/>
  <c r="F42" i="1"/>
  <c r="G39" i="1"/>
  <c r="H39" i="1" s="1"/>
  <c r="F39" i="1"/>
  <c r="G43" i="1"/>
  <c r="F43" i="1"/>
  <c r="G40" i="1"/>
  <c r="F40" i="1"/>
  <c r="G44" i="1"/>
  <c r="F44" i="1"/>
  <c r="G37" i="1"/>
  <c r="H37" i="1" s="1"/>
  <c r="F37" i="1"/>
  <c r="G41" i="1"/>
  <c r="F41" i="1"/>
  <c r="G45" i="1"/>
  <c r="H45" i="1" s="1"/>
  <c r="F45" i="1"/>
  <c r="C8" i="1"/>
  <c r="D8" i="1" l="1"/>
  <c r="E8" i="1" s="1"/>
  <c r="D9" i="1"/>
  <c r="E9" i="1"/>
  <c r="G9" i="1" s="1"/>
  <c r="D10" i="1"/>
  <c r="E10" i="1"/>
  <c r="F10" i="1" s="1"/>
  <c r="D11" i="1"/>
  <c r="E11" i="1"/>
  <c r="G11" i="1" s="1"/>
  <c r="F11" i="1" l="1"/>
  <c r="G10" i="1"/>
  <c r="F9" i="1"/>
  <c r="F8" i="1"/>
  <c r="G8" i="1"/>
  <c r="C7" i="1"/>
  <c r="C6" i="1"/>
  <c r="C5" i="1"/>
  <c r="C4" i="1"/>
  <c r="C3" i="1"/>
  <c r="D36" i="1" l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G13" i="1" l="1"/>
  <c r="F13" i="1"/>
  <c r="G17" i="1"/>
  <c r="H17" i="1" s="1"/>
  <c r="F17" i="1"/>
  <c r="G21" i="1"/>
  <c r="H21" i="1" s="1"/>
  <c r="F21" i="1"/>
  <c r="G25" i="1"/>
  <c r="H25" i="1" s="1"/>
  <c r="F25" i="1"/>
  <c r="G29" i="1"/>
  <c r="H29" i="1" s="1"/>
  <c r="F29" i="1"/>
  <c r="G33" i="1"/>
  <c r="H33" i="1" s="1"/>
  <c r="F33" i="1"/>
  <c r="G14" i="1"/>
  <c r="F14" i="1"/>
  <c r="G18" i="1"/>
  <c r="H18" i="1" s="1"/>
  <c r="F18" i="1"/>
  <c r="G22" i="1"/>
  <c r="H22" i="1" s="1"/>
  <c r="F22" i="1"/>
  <c r="G26" i="1"/>
  <c r="H26" i="1" s="1"/>
  <c r="F26" i="1"/>
  <c r="G30" i="1"/>
  <c r="H30" i="1" s="1"/>
  <c r="F30" i="1"/>
  <c r="G34" i="1"/>
  <c r="H34" i="1" s="1"/>
  <c r="F34" i="1"/>
  <c r="G15" i="1"/>
  <c r="F15" i="1"/>
  <c r="G19" i="1"/>
  <c r="H19" i="1" s="1"/>
  <c r="F19" i="1"/>
  <c r="G23" i="1"/>
  <c r="H23" i="1" s="1"/>
  <c r="F23" i="1"/>
  <c r="G27" i="1"/>
  <c r="H27" i="1" s="1"/>
  <c r="F27" i="1"/>
  <c r="G31" i="1"/>
  <c r="H31" i="1" s="1"/>
  <c r="F31" i="1"/>
  <c r="G35" i="1"/>
  <c r="H35" i="1" s="1"/>
  <c r="F35" i="1"/>
  <c r="G12" i="1"/>
  <c r="F12" i="1"/>
  <c r="G16" i="1"/>
  <c r="F16" i="1"/>
  <c r="G20" i="1"/>
  <c r="H20" i="1" s="1"/>
  <c r="F20" i="1"/>
  <c r="G24" i="1"/>
  <c r="H24" i="1" s="1"/>
  <c r="F24" i="1"/>
  <c r="G28" i="1"/>
  <c r="H28" i="1" s="1"/>
  <c r="F28" i="1"/>
  <c r="G32" i="1"/>
  <c r="H32" i="1" s="1"/>
  <c r="F32" i="1"/>
  <c r="G36" i="1"/>
  <c r="H36" i="1" s="1"/>
  <c r="F36" i="1"/>
  <c r="D7" i="1"/>
  <c r="E7" i="1" s="1"/>
  <c r="D6" i="1"/>
  <c r="E6" i="1" s="1"/>
  <c r="D5" i="1"/>
  <c r="E5" i="1" s="1"/>
  <c r="D4" i="1"/>
  <c r="E4" i="1" s="1"/>
  <c r="F3" i="1"/>
  <c r="G7" i="1" l="1"/>
  <c r="F7" i="1"/>
  <c r="G6" i="1"/>
  <c r="F6" i="1"/>
  <c r="G5" i="1"/>
  <c r="F5" i="1"/>
  <c r="G3" i="1"/>
  <c r="G4" i="1"/>
  <c r="F4" i="1"/>
</calcChain>
</file>

<file path=xl/sharedStrings.xml><?xml version="1.0" encoding="utf-8"?>
<sst xmlns="http://schemas.openxmlformats.org/spreadsheetml/2006/main" count="9" uniqueCount="9">
  <si>
    <t>Date</t>
  </si>
  <si>
    <t>Mileage</t>
  </si>
  <si>
    <t>Elapsed days</t>
  </si>
  <si>
    <t>Average Daily Mileage</t>
  </si>
  <si>
    <t>Average Annual Mileage</t>
  </si>
  <si>
    <t>Projected Mileage @ 20/12/2023</t>
  </si>
  <si>
    <t>Mileage in period</t>
  </si>
  <si>
    <t>Weekly Allowance</t>
  </si>
  <si>
    <t>Week 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</si>
</sst>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50A8-BAD4-1949-845D-26F7387A897E}">
  <dimension ref="A1:I45"/>
  <sheetViews>
    <sheetView tabSelected="1" workbookViewId="0">
      <pane ySplit="1" topLeftCell="A2" activePane="bottomLeft" state="frozen"/>
      <selection pane="bottomLeft" activeCell="D4" sqref="D4"/>
    </sheetView>
  </sheetViews>
  <sheetFormatPr baseColWidth="10" defaultRowHeight="16" x14ac:dyDescent="0.2"/>
  <cols>
    <col min="4" max="4" width="11.6640625" customWidth="1"/>
    <col min="5" max="5" width="7.6640625" customWidth="1"/>
    <col min="6" max="6" width="9.6640625" customWidth="1"/>
    <col min="7" max="7" width="16" bestFit="1" customWidth="1"/>
  </cols>
  <sheetData>
    <row r="1" spans="1:9" ht="68" x14ac:dyDescent="0.2">
      <c r="A1" s="3" t="s">
        <v>0</v>
      </c>
      <c r="B1" s="3" t="s">
        <v>1</v>
      </c>
      <c r="C1" s="2" t="s">
        <v>6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7</v>
      </c>
      <c r="I1" s="2" t="s">
        <v>8</v>
      </c>
    </row>
    <row r="2" spans="1:9" x14ac:dyDescent="0.2">
      <c r="A2" s="1">
        <v>43819</v>
      </c>
      <c r="B2">
        <v>0</v>
      </c>
    </row>
    <row r="3" spans="1:9" x14ac:dyDescent="0.2">
      <c r="A3" s="1">
        <v>43894</v>
      </c>
      <c r="B3">
        <v>3142</v>
      </c>
      <c r="C3">
        <f t="shared" ref="C3:C39" si="0">SUM(B3-B2)</f>
        <v>3142</v>
      </c>
      <c r="D3">
        <f>SUM(A3-$A$2)</f>
        <v>75</v>
      </c>
      <c r="E3">
        <f>SUM(B3/D3)</f>
        <v>41.893333333333331</v>
      </c>
      <c r="F3" s="4">
        <f t="shared" ref="F3:F36" si="1">SUM(E3*365)</f>
        <v>15291.066666666666</v>
      </c>
      <c r="G3" s="4">
        <f t="shared" ref="G3:G9" si="2">SUM(E3*1460)</f>
        <v>61164.266666666663</v>
      </c>
      <c r="H3" s="4"/>
      <c r="I3">
        <v>208</v>
      </c>
    </row>
    <row r="4" spans="1:9" x14ac:dyDescent="0.2">
      <c r="A4" s="1">
        <v>43899</v>
      </c>
      <c r="B4">
        <v>3315</v>
      </c>
      <c r="C4">
        <f t="shared" si="0"/>
        <v>173</v>
      </c>
      <c r="D4">
        <f t="shared" ref="D3:D36" si="3">SUM(A4-$A$2)</f>
        <v>80</v>
      </c>
      <c r="E4">
        <f t="shared" ref="E3:E9" si="4">SUM(B4/D4)</f>
        <v>41.4375</v>
      </c>
      <c r="F4" s="4">
        <f t="shared" si="1"/>
        <v>15124.6875</v>
      </c>
      <c r="G4" s="4">
        <f t="shared" si="2"/>
        <v>60498.75</v>
      </c>
      <c r="H4" s="4">
        <f t="shared" ref="H4:H19" si="5">SUM((40000/208)+(40000-G4)/I3)</f>
        <v>93.756009615384627</v>
      </c>
      <c r="I4">
        <f>SUM(I3-1)</f>
        <v>207</v>
      </c>
    </row>
    <row r="5" spans="1:9" x14ac:dyDescent="0.2">
      <c r="A5" s="1">
        <v>43906</v>
      </c>
      <c r="B5">
        <v>3446</v>
      </c>
      <c r="C5">
        <f t="shared" si="0"/>
        <v>131</v>
      </c>
      <c r="D5">
        <f t="shared" si="3"/>
        <v>87</v>
      </c>
      <c r="E5">
        <f t="shared" si="4"/>
        <v>39.609195402298852</v>
      </c>
      <c r="F5" s="4">
        <f t="shared" si="1"/>
        <v>14457.356321839081</v>
      </c>
      <c r="G5" s="4">
        <f t="shared" si="2"/>
        <v>57829.425287356324</v>
      </c>
      <c r="H5" s="4">
        <f t="shared" si="5"/>
        <v>106.17520299679221</v>
      </c>
      <c r="I5">
        <f>SUM(I4-1)</f>
        <v>206</v>
      </c>
    </row>
    <row r="6" spans="1:9" x14ac:dyDescent="0.2">
      <c r="A6" s="1">
        <v>43913</v>
      </c>
      <c r="B6">
        <v>3612</v>
      </c>
      <c r="C6">
        <f t="shared" si="0"/>
        <v>166</v>
      </c>
      <c r="D6">
        <f t="shared" si="3"/>
        <v>94</v>
      </c>
      <c r="E6">
        <f t="shared" si="4"/>
        <v>38.425531914893618</v>
      </c>
      <c r="F6" s="4">
        <f t="shared" si="1"/>
        <v>14025.319148936171</v>
      </c>
      <c r="G6" s="4">
        <f t="shared" si="2"/>
        <v>56101.276595744683</v>
      </c>
      <c r="H6" s="4">
        <f t="shared" si="5"/>
        <v>114.14615543514532</v>
      </c>
      <c r="I6">
        <f t="shared" ref="I6:I45" si="6">SUM(I5-1)</f>
        <v>205</v>
      </c>
    </row>
    <row r="7" spans="1:9" x14ac:dyDescent="0.2">
      <c r="A7" s="1">
        <v>43920</v>
      </c>
      <c r="B7">
        <v>3627</v>
      </c>
      <c r="C7">
        <f t="shared" si="0"/>
        <v>15</v>
      </c>
      <c r="D7">
        <f t="shared" si="3"/>
        <v>101</v>
      </c>
      <c r="E7">
        <f t="shared" si="4"/>
        <v>35.910891089108908</v>
      </c>
      <c r="F7" s="4">
        <f t="shared" si="1"/>
        <v>13107.475247524751</v>
      </c>
      <c r="G7" s="4">
        <f t="shared" si="2"/>
        <v>52429.900990099006</v>
      </c>
      <c r="H7" s="4">
        <f t="shared" si="5"/>
        <v>131.67402894135572</v>
      </c>
      <c r="I7">
        <f t="shared" si="6"/>
        <v>204</v>
      </c>
    </row>
    <row r="8" spans="1:9" x14ac:dyDescent="0.2">
      <c r="A8" s="1">
        <v>43927</v>
      </c>
      <c r="B8">
        <v>3751</v>
      </c>
      <c r="C8">
        <f t="shared" si="0"/>
        <v>124</v>
      </c>
      <c r="D8">
        <f t="shared" si="3"/>
        <v>108</v>
      </c>
      <c r="E8">
        <f t="shared" si="4"/>
        <v>34.731481481481481</v>
      </c>
      <c r="F8" s="4">
        <f t="shared" si="1"/>
        <v>12676.990740740741</v>
      </c>
      <c r="G8" s="4">
        <f t="shared" si="2"/>
        <v>50707.962962962964</v>
      </c>
      <c r="H8" s="4">
        <f t="shared" si="5"/>
        <v>139.81767778336408</v>
      </c>
      <c r="I8">
        <f t="shared" si="6"/>
        <v>203</v>
      </c>
    </row>
    <row r="9" spans="1:9" x14ac:dyDescent="0.2">
      <c r="A9" s="1">
        <v>43934</v>
      </c>
      <c r="B9">
        <v>3780</v>
      </c>
      <c r="C9">
        <f t="shared" si="0"/>
        <v>29</v>
      </c>
      <c r="D9">
        <f t="shared" si="3"/>
        <v>115</v>
      </c>
      <c r="E9">
        <f t="shared" si="4"/>
        <v>32.869565217391305</v>
      </c>
      <c r="F9" s="4">
        <f t="shared" si="1"/>
        <v>11997.391304347826</v>
      </c>
      <c r="G9" s="4">
        <f t="shared" si="2"/>
        <v>47989.565217391304</v>
      </c>
      <c r="H9" s="4">
        <f t="shared" si="5"/>
        <v>152.95022818261202</v>
      </c>
      <c r="I9">
        <f t="shared" si="6"/>
        <v>202</v>
      </c>
    </row>
    <row r="10" spans="1:9" x14ac:dyDescent="0.2">
      <c r="A10" s="1">
        <v>43941</v>
      </c>
      <c r="B10">
        <v>3841</v>
      </c>
      <c r="C10">
        <f t="shared" si="0"/>
        <v>61</v>
      </c>
      <c r="D10">
        <f t="shared" si="3"/>
        <v>122</v>
      </c>
      <c r="E10">
        <f t="shared" ref="E10:E36" si="7">SUM(B10/D10)</f>
        <v>31.483606557377048</v>
      </c>
      <c r="F10" s="4">
        <f t="shared" si="1"/>
        <v>11491.516393442622</v>
      </c>
      <c r="G10" s="4">
        <f t="shared" ref="G10:G36" si="8">SUM(E10*1460)</f>
        <v>45966.065573770487</v>
      </c>
      <c r="H10" s="4">
        <f t="shared" si="5"/>
        <v>162.7727142197196</v>
      </c>
      <c r="I10">
        <f t="shared" si="6"/>
        <v>201</v>
      </c>
    </row>
    <row r="11" spans="1:9" x14ac:dyDescent="0.2">
      <c r="A11" s="1">
        <v>43948</v>
      </c>
      <c r="B11">
        <v>3841</v>
      </c>
      <c r="C11">
        <f t="shared" si="0"/>
        <v>0</v>
      </c>
      <c r="D11">
        <f t="shared" si="3"/>
        <v>129</v>
      </c>
      <c r="E11">
        <f t="shared" si="7"/>
        <v>29.775193798449614</v>
      </c>
      <c r="F11" s="4">
        <f t="shared" si="1"/>
        <v>10867.945736434109</v>
      </c>
      <c r="G11" s="4">
        <f t="shared" si="8"/>
        <v>43471.782945736435</v>
      </c>
      <c r="H11" s="4">
        <f t="shared" si="5"/>
        <v>175.03514033885435</v>
      </c>
      <c r="I11">
        <f t="shared" si="6"/>
        <v>200</v>
      </c>
    </row>
    <row r="12" spans="1:9" x14ac:dyDescent="0.2">
      <c r="A12" s="1">
        <v>43955</v>
      </c>
      <c r="B12">
        <v>3873</v>
      </c>
      <c r="C12">
        <f t="shared" si="0"/>
        <v>32</v>
      </c>
      <c r="D12">
        <f t="shared" si="3"/>
        <v>136</v>
      </c>
      <c r="E12">
        <f t="shared" si="7"/>
        <v>28.477941176470587</v>
      </c>
      <c r="F12" s="4">
        <f t="shared" si="1"/>
        <v>10394.448529411764</v>
      </c>
      <c r="G12" s="4">
        <f t="shared" si="8"/>
        <v>41577.794117647056</v>
      </c>
      <c r="H12" s="4">
        <f t="shared" si="5"/>
        <v>184.41872171945704</v>
      </c>
      <c r="I12">
        <f t="shared" si="6"/>
        <v>199</v>
      </c>
    </row>
    <row r="13" spans="1:9" x14ac:dyDescent="0.2">
      <c r="A13" s="1">
        <v>43962</v>
      </c>
      <c r="B13">
        <v>3893</v>
      </c>
      <c r="C13">
        <f t="shared" si="0"/>
        <v>20</v>
      </c>
      <c r="D13">
        <f t="shared" si="3"/>
        <v>143</v>
      </c>
      <c r="E13">
        <f t="shared" si="7"/>
        <v>27.223776223776223</v>
      </c>
      <c r="F13" s="4">
        <f t="shared" si="1"/>
        <v>9936.6783216783224</v>
      </c>
      <c r="G13" s="4">
        <f t="shared" si="8"/>
        <v>39746.71328671329</v>
      </c>
      <c r="H13" s="4">
        <f t="shared" si="5"/>
        <v>193.58048986189689</v>
      </c>
      <c r="I13">
        <f t="shared" si="6"/>
        <v>198</v>
      </c>
    </row>
    <row r="14" spans="1:9" x14ac:dyDescent="0.2">
      <c r="A14" s="1">
        <v>43969</v>
      </c>
      <c r="B14">
        <v>3916</v>
      </c>
      <c r="C14">
        <f t="shared" si="0"/>
        <v>23</v>
      </c>
      <c r="D14">
        <f t="shared" si="3"/>
        <v>150</v>
      </c>
      <c r="E14">
        <f t="shared" si="7"/>
        <v>26.106666666666666</v>
      </c>
      <c r="F14" s="4">
        <f t="shared" si="1"/>
        <v>9528.9333333333325</v>
      </c>
      <c r="G14" s="4">
        <f t="shared" si="8"/>
        <v>38115.73333333333</v>
      </c>
      <c r="H14" s="4">
        <f t="shared" si="5"/>
        <v>201.82419062419066</v>
      </c>
      <c r="I14">
        <f t="shared" si="6"/>
        <v>197</v>
      </c>
    </row>
    <row r="15" spans="1:9" x14ac:dyDescent="0.2">
      <c r="A15" s="1">
        <v>43976</v>
      </c>
      <c r="B15">
        <v>3923</v>
      </c>
      <c r="C15">
        <f t="shared" si="0"/>
        <v>7</v>
      </c>
      <c r="D15">
        <f t="shared" si="3"/>
        <v>157</v>
      </c>
      <c r="E15">
        <f t="shared" si="7"/>
        <v>24.987261146496817</v>
      </c>
      <c r="F15" s="4">
        <f t="shared" si="1"/>
        <v>9120.3503184713372</v>
      </c>
      <c r="G15" s="4">
        <f t="shared" si="8"/>
        <v>36481.401273885349</v>
      </c>
      <c r="H15" s="4">
        <f t="shared" si="5"/>
        <v>210.16859954685299</v>
      </c>
      <c r="I15">
        <f t="shared" si="6"/>
        <v>196</v>
      </c>
    </row>
    <row r="16" spans="1:9" x14ac:dyDescent="0.2">
      <c r="A16" s="1">
        <v>43983</v>
      </c>
      <c r="B16">
        <v>4015</v>
      </c>
      <c r="C16">
        <f t="shared" si="0"/>
        <v>92</v>
      </c>
      <c r="D16">
        <f t="shared" si="3"/>
        <v>164</v>
      </c>
      <c r="E16">
        <f t="shared" si="7"/>
        <v>24.48170731707317</v>
      </c>
      <c r="F16" s="4">
        <f t="shared" si="1"/>
        <v>8935.8231707317063</v>
      </c>
      <c r="G16" s="4">
        <f t="shared" si="8"/>
        <v>35743.292682926825</v>
      </c>
      <c r="H16" s="4">
        <f t="shared" si="5"/>
        <v>214.02558678255545</v>
      </c>
      <c r="I16">
        <f t="shared" si="6"/>
        <v>195</v>
      </c>
    </row>
    <row r="17" spans="1:9" x14ac:dyDescent="0.2">
      <c r="A17" s="1">
        <v>43990</v>
      </c>
      <c r="B17">
        <v>4100</v>
      </c>
      <c r="C17">
        <f t="shared" si="0"/>
        <v>85</v>
      </c>
      <c r="D17">
        <f t="shared" si="3"/>
        <v>171</v>
      </c>
      <c r="E17">
        <f t="shared" si="7"/>
        <v>23.976608187134502</v>
      </c>
      <c r="F17" s="4">
        <f t="shared" si="1"/>
        <v>8751.4619883040941</v>
      </c>
      <c r="G17" s="4">
        <f t="shared" si="8"/>
        <v>35005.847953216376</v>
      </c>
      <c r="H17" s="4">
        <f t="shared" si="5"/>
        <v>217.91872844504422</v>
      </c>
      <c r="I17">
        <f t="shared" si="6"/>
        <v>194</v>
      </c>
    </row>
    <row r="18" spans="1:9" x14ac:dyDescent="0.2">
      <c r="A18" s="1">
        <v>43997</v>
      </c>
      <c r="B18">
        <v>4274</v>
      </c>
      <c r="C18">
        <f t="shared" si="0"/>
        <v>174</v>
      </c>
      <c r="D18">
        <f t="shared" si="3"/>
        <v>178</v>
      </c>
      <c r="E18">
        <f t="shared" si="7"/>
        <v>24.011235955056179</v>
      </c>
      <c r="F18" s="4">
        <f t="shared" si="1"/>
        <v>8764.1011235955048</v>
      </c>
      <c r="G18" s="4">
        <f t="shared" si="8"/>
        <v>35056.404494382019</v>
      </c>
      <c r="H18" s="4">
        <f t="shared" si="5"/>
        <v>217.79014336757882</v>
      </c>
      <c r="I18">
        <f t="shared" si="6"/>
        <v>193</v>
      </c>
    </row>
    <row r="19" spans="1:9" x14ac:dyDescent="0.2">
      <c r="A19" s="1">
        <v>44004</v>
      </c>
      <c r="B19">
        <v>4383</v>
      </c>
      <c r="C19">
        <f t="shared" si="0"/>
        <v>109</v>
      </c>
      <c r="D19">
        <f t="shared" si="3"/>
        <v>185</v>
      </c>
      <c r="E19">
        <f t="shared" si="7"/>
        <v>23.691891891891892</v>
      </c>
      <c r="F19" s="4">
        <f t="shared" si="1"/>
        <v>8647.54054054054</v>
      </c>
      <c r="G19" s="4">
        <f t="shared" si="8"/>
        <v>34590.16216216216</v>
      </c>
      <c r="H19" s="4">
        <f t="shared" si="5"/>
        <v>220.33794017213708</v>
      </c>
      <c r="I19">
        <f t="shared" si="6"/>
        <v>192</v>
      </c>
    </row>
    <row r="20" spans="1:9" x14ac:dyDescent="0.2">
      <c r="A20" s="1">
        <v>44011</v>
      </c>
      <c r="B20">
        <v>4533</v>
      </c>
      <c r="C20">
        <f t="shared" si="0"/>
        <v>150</v>
      </c>
      <c r="D20">
        <f t="shared" si="3"/>
        <v>192</v>
      </c>
      <c r="E20">
        <f t="shared" si="7"/>
        <v>23.609375</v>
      </c>
      <c r="F20" s="4">
        <f t="shared" si="1"/>
        <v>8617.421875</v>
      </c>
      <c r="G20" s="4">
        <f t="shared" si="8"/>
        <v>34469.6875</v>
      </c>
      <c r="H20" s="4">
        <f t="shared" ref="H20:H45" si="9">SUM((40000/208)+(40000-G20)/I19)</f>
        <v>221.11140324519232</v>
      </c>
      <c r="I20">
        <f t="shared" si="6"/>
        <v>191</v>
      </c>
    </row>
    <row r="21" spans="1:9" x14ac:dyDescent="0.2">
      <c r="A21" s="1">
        <v>44018</v>
      </c>
      <c r="B21">
        <v>4671</v>
      </c>
      <c r="C21">
        <f t="shared" si="0"/>
        <v>138</v>
      </c>
      <c r="D21">
        <f t="shared" si="3"/>
        <v>199</v>
      </c>
      <c r="E21">
        <f t="shared" si="7"/>
        <v>23.472361809045225</v>
      </c>
      <c r="F21" s="4">
        <f t="shared" si="1"/>
        <v>8567.4120603015072</v>
      </c>
      <c r="G21" s="4">
        <f t="shared" si="8"/>
        <v>34269.648241206029</v>
      </c>
      <c r="H21" s="4">
        <f t="shared" si="9"/>
        <v>222.30953397677069</v>
      </c>
      <c r="I21">
        <f t="shared" si="6"/>
        <v>190</v>
      </c>
    </row>
    <row r="22" spans="1:9" x14ac:dyDescent="0.2">
      <c r="A22" s="1">
        <v>44025</v>
      </c>
      <c r="B22">
        <v>4974</v>
      </c>
      <c r="C22">
        <f t="shared" si="0"/>
        <v>303</v>
      </c>
      <c r="D22">
        <f t="shared" si="3"/>
        <v>206</v>
      </c>
      <c r="E22">
        <f t="shared" si="7"/>
        <v>24.145631067961165</v>
      </c>
      <c r="F22" s="4">
        <f t="shared" si="1"/>
        <v>8813.1553398058259</v>
      </c>
      <c r="G22" s="4">
        <f t="shared" si="8"/>
        <v>35252.621359223303</v>
      </c>
      <c r="H22" s="4">
        <f t="shared" si="9"/>
        <v>217.29389568020125</v>
      </c>
      <c r="I22">
        <f t="shared" si="6"/>
        <v>189</v>
      </c>
    </row>
    <row r="23" spans="1:9" x14ac:dyDescent="0.2">
      <c r="A23" s="1">
        <v>44032</v>
      </c>
      <c r="B23">
        <v>5031</v>
      </c>
      <c r="C23">
        <f t="shared" si="0"/>
        <v>57</v>
      </c>
      <c r="D23">
        <f t="shared" si="3"/>
        <v>213</v>
      </c>
      <c r="E23">
        <f t="shared" si="7"/>
        <v>23.619718309859156</v>
      </c>
      <c r="F23" s="4">
        <f t="shared" si="1"/>
        <v>8621.1971830985913</v>
      </c>
      <c r="G23" s="4">
        <f t="shared" si="8"/>
        <v>34484.788732394365</v>
      </c>
      <c r="H23" s="4">
        <f t="shared" si="9"/>
        <v>221.48870430560572</v>
      </c>
      <c r="I23">
        <f t="shared" si="6"/>
        <v>188</v>
      </c>
    </row>
    <row r="24" spans="1:9" x14ac:dyDescent="0.2">
      <c r="A24" s="1">
        <v>44039</v>
      </c>
      <c r="B24">
        <v>5056</v>
      </c>
      <c r="C24">
        <f t="shared" si="0"/>
        <v>25</v>
      </c>
      <c r="D24">
        <f t="shared" si="3"/>
        <v>220</v>
      </c>
      <c r="E24">
        <f t="shared" si="7"/>
        <v>22.981818181818181</v>
      </c>
      <c r="F24" s="4">
        <f t="shared" si="1"/>
        <v>8388.363636363636</v>
      </c>
      <c r="G24" s="4">
        <f t="shared" si="8"/>
        <v>33553.454545454544</v>
      </c>
      <c r="H24" s="4">
        <f t="shared" si="9"/>
        <v>226.59782770421072</v>
      </c>
      <c r="I24">
        <f t="shared" si="6"/>
        <v>187</v>
      </c>
    </row>
    <row r="25" spans="1:9" x14ac:dyDescent="0.2">
      <c r="A25" s="1">
        <v>44046</v>
      </c>
      <c r="B25">
        <v>5056</v>
      </c>
      <c r="C25">
        <f t="shared" si="0"/>
        <v>0</v>
      </c>
      <c r="D25">
        <f t="shared" si="3"/>
        <v>227</v>
      </c>
      <c r="E25">
        <f t="shared" si="7"/>
        <v>22.273127753303964</v>
      </c>
      <c r="F25" s="4">
        <f t="shared" si="1"/>
        <v>8129.6916299559471</v>
      </c>
      <c r="G25" s="4">
        <f t="shared" si="8"/>
        <v>32518.766519823788</v>
      </c>
      <c r="H25" s="4">
        <f t="shared" si="9"/>
        <v>232.31428845836726</v>
      </c>
      <c r="I25">
        <f t="shared" si="6"/>
        <v>186</v>
      </c>
    </row>
    <row r="26" spans="1:9" x14ac:dyDescent="0.2">
      <c r="A26" s="1">
        <v>44053</v>
      </c>
      <c r="B26">
        <v>5056</v>
      </c>
      <c r="C26">
        <f t="shared" si="0"/>
        <v>0</v>
      </c>
      <c r="D26">
        <f t="shared" si="3"/>
        <v>234</v>
      </c>
      <c r="E26">
        <f t="shared" si="7"/>
        <v>21.606837606837608</v>
      </c>
      <c r="F26" s="4">
        <f t="shared" si="1"/>
        <v>7886.4957264957266</v>
      </c>
      <c r="G26" s="4">
        <f t="shared" si="8"/>
        <v>31545.982905982906</v>
      </c>
      <c r="H26" s="4">
        <f t="shared" si="9"/>
        <v>237.75939711423584</v>
      </c>
      <c r="I26">
        <f t="shared" si="6"/>
        <v>185</v>
      </c>
    </row>
    <row r="27" spans="1:9" x14ac:dyDescent="0.2">
      <c r="A27" s="1">
        <v>44060</v>
      </c>
      <c r="B27">
        <v>5125</v>
      </c>
      <c r="C27">
        <f t="shared" si="0"/>
        <v>69</v>
      </c>
      <c r="D27">
        <f t="shared" si="3"/>
        <v>241</v>
      </c>
      <c r="E27">
        <f t="shared" si="7"/>
        <v>21.265560165975103</v>
      </c>
      <c r="F27" s="4">
        <f t="shared" si="1"/>
        <v>7761.9294605809127</v>
      </c>
      <c r="G27" s="4">
        <f t="shared" si="8"/>
        <v>31047.717842323651</v>
      </c>
      <c r="H27" s="4">
        <f t="shared" si="9"/>
        <v>240.69840667351042</v>
      </c>
      <c r="I27">
        <f t="shared" si="6"/>
        <v>184</v>
      </c>
    </row>
    <row r="28" spans="1:9" x14ac:dyDescent="0.2">
      <c r="A28" s="1">
        <v>44067</v>
      </c>
      <c r="B28">
        <v>5290</v>
      </c>
      <c r="C28">
        <f t="shared" si="0"/>
        <v>165</v>
      </c>
      <c r="D28">
        <f t="shared" si="3"/>
        <v>248</v>
      </c>
      <c r="E28">
        <f t="shared" si="7"/>
        <v>21.330645161290324</v>
      </c>
      <c r="F28" s="4">
        <f t="shared" si="1"/>
        <v>7785.6854838709678</v>
      </c>
      <c r="G28" s="4">
        <f t="shared" si="8"/>
        <v>31142.741935483871</v>
      </c>
      <c r="H28" s="4">
        <f t="shared" si="9"/>
        <v>240.44496439745387</v>
      </c>
      <c r="I28">
        <f t="shared" si="6"/>
        <v>183</v>
      </c>
    </row>
    <row r="29" spans="1:9" x14ac:dyDescent="0.2">
      <c r="A29" s="1">
        <v>44074</v>
      </c>
      <c r="B29">
        <v>5349</v>
      </c>
      <c r="C29">
        <f t="shared" si="0"/>
        <v>59</v>
      </c>
      <c r="D29">
        <f t="shared" si="3"/>
        <v>255</v>
      </c>
      <c r="E29">
        <f t="shared" si="7"/>
        <v>20.976470588235294</v>
      </c>
      <c r="F29" s="4">
        <f t="shared" si="1"/>
        <v>7656.411764705882</v>
      </c>
      <c r="G29" s="4">
        <f t="shared" si="8"/>
        <v>30625.647058823528</v>
      </c>
      <c r="H29" s="4">
        <f t="shared" si="9"/>
        <v>243.5336646638479</v>
      </c>
      <c r="I29">
        <f t="shared" si="6"/>
        <v>182</v>
      </c>
    </row>
    <row r="30" spans="1:9" x14ac:dyDescent="0.2">
      <c r="A30" s="1">
        <v>44081</v>
      </c>
      <c r="B30">
        <v>5410</v>
      </c>
      <c r="C30">
        <f t="shared" si="0"/>
        <v>61</v>
      </c>
      <c r="D30">
        <f t="shared" si="3"/>
        <v>262</v>
      </c>
      <c r="E30">
        <f t="shared" si="7"/>
        <v>20.648854961832061</v>
      </c>
      <c r="F30" s="4">
        <f t="shared" si="1"/>
        <v>7536.8320610687024</v>
      </c>
      <c r="G30" s="4">
        <f t="shared" si="8"/>
        <v>30147.32824427481</v>
      </c>
      <c r="H30" s="4">
        <f t="shared" si="9"/>
        <v>246.44325140508349</v>
      </c>
      <c r="I30">
        <f t="shared" si="6"/>
        <v>181</v>
      </c>
    </row>
    <row r="31" spans="1:9" x14ac:dyDescent="0.2">
      <c r="A31" s="1">
        <v>44088</v>
      </c>
      <c r="B31">
        <v>5522</v>
      </c>
      <c r="C31">
        <f t="shared" si="0"/>
        <v>112</v>
      </c>
      <c r="D31">
        <f t="shared" si="3"/>
        <v>269</v>
      </c>
      <c r="E31">
        <f t="shared" si="7"/>
        <v>20.527881040892193</v>
      </c>
      <c r="F31" s="4">
        <f t="shared" si="1"/>
        <v>7492.6765799256509</v>
      </c>
      <c r="G31" s="4">
        <f t="shared" si="8"/>
        <v>29970.706319702604</v>
      </c>
      <c r="H31" s="4">
        <f t="shared" si="9"/>
        <v>247.71815462977739</v>
      </c>
      <c r="I31">
        <f t="shared" si="6"/>
        <v>180</v>
      </c>
    </row>
    <row r="32" spans="1:9" x14ac:dyDescent="0.2">
      <c r="A32" s="1">
        <v>44095</v>
      </c>
      <c r="B32">
        <v>5683</v>
      </c>
      <c r="C32">
        <f t="shared" si="0"/>
        <v>161</v>
      </c>
      <c r="D32">
        <f t="shared" si="3"/>
        <v>276</v>
      </c>
      <c r="E32">
        <f t="shared" si="7"/>
        <v>20.590579710144926</v>
      </c>
      <c r="F32" s="4">
        <f t="shared" si="1"/>
        <v>7515.561594202898</v>
      </c>
      <c r="G32" s="4">
        <f t="shared" si="8"/>
        <v>30062.246376811592</v>
      </c>
      <c r="H32" s="4">
        <f t="shared" si="9"/>
        <v>247.51743465873903</v>
      </c>
      <c r="I32">
        <f t="shared" si="6"/>
        <v>179</v>
      </c>
    </row>
    <row r="33" spans="1:9" x14ac:dyDescent="0.2">
      <c r="A33" s="1">
        <v>44102</v>
      </c>
      <c r="B33">
        <v>5821</v>
      </c>
      <c r="C33">
        <f t="shared" si="0"/>
        <v>138</v>
      </c>
      <c r="D33">
        <f t="shared" si="3"/>
        <v>283</v>
      </c>
      <c r="E33">
        <f t="shared" si="7"/>
        <v>20.568904593639576</v>
      </c>
      <c r="F33" s="4">
        <f t="shared" si="1"/>
        <v>7507.6501766784459</v>
      </c>
      <c r="G33" s="4">
        <f t="shared" si="8"/>
        <v>30030.600706713783</v>
      </c>
      <c r="H33" s="4">
        <f t="shared" si="9"/>
        <v>248.00266042660974</v>
      </c>
      <c r="I33">
        <f t="shared" si="6"/>
        <v>178</v>
      </c>
    </row>
    <row r="34" spans="1:9" x14ac:dyDescent="0.2">
      <c r="A34" s="1">
        <v>44109</v>
      </c>
      <c r="B34">
        <v>5854</v>
      </c>
      <c r="C34">
        <f t="shared" si="0"/>
        <v>33</v>
      </c>
      <c r="D34">
        <f t="shared" si="3"/>
        <v>290</v>
      </c>
      <c r="E34">
        <f t="shared" si="7"/>
        <v>20.186206896551724</v>
      </c>
      <c r="F34" s="4">
        <f t="shared" si="1"/>
        <v>7367.9655172413795</v>
      </c>
      <c r="G34" s="4">
        <f t="shared" si="8"/>
        <v>29471.862068965518</v>
      </c>
      <c r="H34" s="4">
        <f t="shared" si="9"/>
        <v>251.45453461687481</v>
      </c>
      <c r="I34">
        <f t="shared" si="6"/>
        <v>177</v>
      </c>
    </row>
    <row r="35" spans="1:9" x14ac:dyDescent="0.2">
      <c r="A35" s="1">
        <v>44116</v>
      </c>
      <c r="B35">
        <v>5966</v>
      </c>
      <c r="C35">
        <f t="shared" si="0"/>
        <v>112</v>
      </c>
      <c r="D35">
        <f t="shared" si="3"/>
        <v>297</v>
      </c>
      <c r="E35">
        <f t="shared" si="7"/>
        <v>20.087542087542086</v>
      </c>
      <c r="F35" s="4">
        <f t="shared" si="1"/>
        <v>7331.9528619528619</v>
      </c>
      <c r="G35" s="4">
        <f t="shared" si="8"/>
        <v>29327.811447811448</v>
      </c>
      <c r="H35" s="4">
        <f t="shared" si="9"/>
        <v>252.60254288502878</v>
      </c>
      <c r="I35">
        <f t="shared" si="6"/>
        <v>176</v>
      </c>
    </row>
    <row r="36" spans="1:9" x14ac:dyDescent="0.2">
      <c r="A36" s="1">
        <v>44123</v>
      </c>
      <c r="B36">
        <v>6316</v>
      </c>
      <c r="C36">
        <f t="shared" si="0"/>
        <v>350</v>
      </c>
      <c r="D36">
        <f t="shared" si="3"/>
        <v>304</v>
      </c>
      <c r="E36">
        <f t="shared" si="7"/>
        <v>20.776315789473685</v>
      </c>
      <c r="F36" s="4">
        <f t="shared" si="1"/>
        <v>7583.355263157895</v>
      </c>
      <c r="G36" s="4">
        <f t="shared" si="8"/>
        <v>30333.42105263158</v>
      </c>
      <c r="H36" s="4">
        <f t="shared" si="9"/>
        <v>247.23143632683107</v>
      </c>
      <c r="I36">
        <f t="shared" si="6"/>
        <v>175</v>
      </c>
    </row>
    <row r="37" spans="1:9" x14ac:dyDescent="0.2">
      <c r="A37" s="1">
        <v>44130</v>
      </c>
      <c r="B37">
        <v>6402</v>
      </c>
      <c r="C37">
        <f t="shared" si="0"/>
        <v>86</v>
      </c>
      <c r="D37">
        <f t="shared" ref="D37:D45" si="10">SUM(A37-$A$2)</f>
        <v>311</v>
      </c>
      <c r="E37">
        <f t="shared" ref="E37:E45" si="11">SUM(B37/D37)</f>
        <v>20.585209003215436</v>
      </c>
      <c r="F37" s="4">
        <f t="shared" ref="F37:F45" si="12">SUM(E37*365)</f>
        <v>7513.6012861736344</v>
      </c>
      <c r="G37" s="4">
        <f t="shared" ref="G37:G45" si="13">SUM(E37*1460)</f>
        <v>30054.405144694538</v>
      </c>
      <c r="H37" s="4">
        <f t="shared" si="9"/>
        <v>249.13966290943782</v>
      </c>
      <c r="I37">
        <f t="shared" si="6"/>
        <v>174</v>
      </c>
    </row>
    <row r="38" spans="1:9" x14ac:dyDescent="0.2">
      <c r="A38" s="1">
        <v>44137</v>
      </c>
      <c r="B38">
        <v>6515</v>
      </c>
      <c r="C38">
        <f t="shared" si="0"/>
        <v>113</v>
      </c>
      <c r="D38">
        <f t="shared" si="10"/>
        <v>318</v>
      </c>
      <c r="E38">
        <f t="shared" si="11"/>
        <v>20.487421383647799</v>
      </c>
      <c r="F38" s="4">
        <f t="shared" si="12"/>
        <v>7477.9088050314467</v>
      </c>
      <c r="G38" s="4">
        <f t="shared" si="13"/>
        <v>29911.635220125787</v>
      </c>
      <c r="H38" s="4">
        <f t="shared" si="9"/>
        <v>250.28680023800388</v>
      </c>
      <c r="I38">
        <f t="shared" si="6"/>
        <v>173</v>
      </c>
    </row>
    <row r="39" spans="1:9" x14ac:dyDescent="0.2">
      <c r="A39" s="1">
        <v>44144</v>
      </c>
      <c r="B39">
        <v>6533</v>
      </c>
      <c r="C39">
        <f t="shared" si="0"/>
        <v>18</v>
      </c>
      <c r="D39">
        <f t="shared" si="10"/>
        <v>325</v>
      </c>
      <c r="E39">
        <f t="shared" si="11"/>
        <v>20.10153846153846</v>
      </c>
      <c r="F39" s="4">
        <f t="shared" si="12"/>
        <v>7337.0615384615385</v>
      </c>
      <c r="G39" s="4">
        <f t="shared" si="13"/>
        <v>29348.246153846154</v>
      </c>
      <c r="H39" s="4">
        <f t="shared" si="9"/>
        <v>253.87852378835038</v>
      </c>
      <c r="I39">
        <f t="shared" si="6"/>
        <v>172</v>
      </c>
    </row>
    <row r="40" spans="1:9" x14ac:dyDescent="0.2">
      <c r="A40" s="1">
        <v>44151</v>
      </c>
      <c r="D40">
        <f t="shared" si="10"/>
        <v>332</v>
      </c>
      <c r="E40">
        <f t="shared" si="11"/>
        <v>0</v>
      </c>
      <c r="F40" s="4">
        <f t="shared" si="12"/>
        <v>0</v>
      </c>
      <c r="G40" s="4">
        <f t="shared" si="13"/>
        <v>0</v>
      </c>
      <c r="H40" s="4">
        <f t="shared" si="9"/>
        <v>424.86583184257603</v>
      </c>
      <c r="I40">
        <f t="shared" si="6"/>
        <v>171</v>
      </c>
    </row>
    <row r="41" spans="1:9" x14ac:dyDescent="0.2">
      <c r="A41" s="1">
        <v>44158</v>
      </c>
      <c r="D41">
        <f t="shared" si="10"/>
        <v>339</v>
      </c>
      <c r="E41">
        <f t="shared" si="11"/>
        <v>0</v>
      </c>
      <c r="F41" s="4">
        <f t="shared" si="12"/>
        <v>0</v>
      </c>
      <c r="G41" s="4">
        <f t="shared" si="13"/>
        <v>0</v>
      </c>
      <c r="H41" s="4">
        <f t="shared" si="9"/>
        <v>426.22582096266308</v>
      </c>
      <c r="I41">
        <f t="shared" si="6"/>
        <v>170</v>
      </c>
    </row>
    <row r="42" spans="1:9" x14ac:dyDescent="0.2">
      <c r="A42" s="1">
        <v>44165</v>
      </c>
      <c r="D42">
        <f t="shared" si="10"/>
        <v>346</v>
      </c>
      <c r="E42">
        <f t="shared" si="11"/>
        <v>0</v>
      </c>
      <c r="F42" s="4">
        <f t="shared" si="12"/>
        <v>0</v>
      </c>
      <c r="G42" s="4">
        <f t="shared" si="13"/>
        <v>0</v>
      </c>
      <c r="H42" s="4">
        <f t="shared" si="9"/>
        <v>427.60180995475116</v>
      </c>
      <c r="I42">
        <f t="shared" si="6"/>
        <v>169</v>
      </c>
    </row>
    <row r="43" spans="1:9" x14ac:dyDescent="0.2">
      <c r="A43" s="1">
        <v>44172</v>
      </c>
      <c r="D43">
        <f t="shared" si="10"/>
        <v>353</v>
      </c>
      <c r="E43">
        <f t="shared" si="11"/>
        <v>0</v>
      </c>
      <c r="F43" s="4">
        <f t="shared" si="12"/>
        <v>0</v>
      </c>
      <c r="G43" s="4">
        <f t="shared" si="13"/>
        <v>0</v>
      </c>
      <c r="H43" s="4">
        <f t="shared" si="9"/>
        <v>428.99408284023673</v>
      </c>
      <c r="I43">
        <f t="shared" si="6"/>
        <v>168</v>
      </c>
    </row>
    <row r="44" spans="1:9" x14ac:dyDescent="0.2">
      <c r="A44" s="1">
        <v>44179</v>
      </c>
      <c r="D44">
        <f t="shared" si="10"/>
        <v>360</v>
      </c>
      <c r="E44">
        <f t="shared" si="11"/>
        <v>0</v>
      </c>
      <c r="F44" s="4">
        <f t="shared" si="12"/>
        <v>0</v>
      </c>
      <c r="G44" s="4">
        <f t="shared" si="13"/>
        <v>0</v>
      </c>
      <c r="H44" s="4">
        <f t="shared" si="9"/>
        <v>430.40293040293045</v>
      </c>
      <c r="I44">
        <f t="shared" si="6"/>
        <v>167</v>
      </c>
    </row>
    <row r="45" spans="1:9" x14ac:dyDescent="0.2">
      <c r="A45" s="1">
        <v>44186</v>
      </c>
      <c r="D45">
        <f t="shared" si="10"/>
        <v>367</v>
      </c>
      <c r="E45">
        <f t="shared" si="11"/>
        <v>0</v>
      </c>
      <c r="F45" s="4">
        <f t="shared" si="12"/>
        <v>0</v>
      </c>
      <c r="G45" s="4">
        <f t="shared" si="13"/>
        <v>0</v>
      </c>
      <c r="H45" s="4">
        <f t="shared" si="9"/>
        <v>431.82865039152466</v>
      </c>
      <c r="I45">
        <f t="shared" si="6"/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TeslaMileage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2020-03-04T09:52:35Z</dcterms:created>
  <dcterms:modified xsi:type="dcterms:W3CDTF">2020-11-11T15:32:59Z</dcterms:modified>
</cp:coreProperties>
</file>